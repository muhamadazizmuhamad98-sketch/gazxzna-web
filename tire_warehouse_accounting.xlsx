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ventory" sheetId="2" state="visible" r:id="rId2"/>
    <sheet name="Customers" sheetId="3" state="visible" r:id="rId3"/>
    <sheet name="Sales" sheetId="4" state="visible" r:id="rId4"/>
    <sheet name="Pay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1D3557"/>
      <sz val="16"/>
    </font>
    <font>
      <name val="Segoe UI"/>
      <b val="1"/>
      <color rgb="006C757D"/>
      <sz val="9"/>
    </font>
    <font>
      <name val="Segoe UI"/>
      <b val="1"/>
      <color rgb="000F4C5C"/>
      <sz val="14"/>
    </font>
    <font>
      <name val="Segoe UI"/>
      <b val="1"/>
      <color rgb="001D3557"/>
      <sz val="12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1D3557"/>
        <bgColor rgb="001D3557"/>
      </patternFill>
    </fill>
    <fill>
      <patternFill patternType="solid">
        <fgColor rgb="00457B9D"/>
        <bgColor rgb="00457B9D"/>
      </patternFill>
    </fill>
    <fill>
      <patternFill patternType="solid">
        <fgColor rgb="002A9D8F"/>
        <bgColor rgb="002A9D8F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1D3557"/>
      </top>
      <bottom style="medium">
        <color rgb="001D3557"/>
      </bottom>
    </border>
    <border>
      <top style="thin">
        <color rgb="00D1D5DB"/>
      </top>
      <bottom style="double">
        <color rgb="001D355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applyAlignment="1" pivotButton="0" quotePrefix="0" xfId="0">
      <alignment horizontal="left" vertical="center"/>
    </xf>
    <xf numFmtId="0" fontId="6" fillId="0" borderId="3" pivotButton="0" quotePrefix="0" xfId="0"/>
    <xf numFmtId="164" fontId="6" fillId="0" borderId="3" pivotButton="0" quotePrefix="0" xfId="0"/>
    <xf numFmtId="0" fontId="7" fillId="0" borderId="0" applyAlignment="1" pivotButton="0" quotePrefix="0" xfId="0">
      <alignment horizontal="left"/>
    </xf>
    <xf numFmtId="0" fontId="7" fillId="0" borderId="1" pivotButton="0" quotePrefix="0" xfId="0"/>
    <xf numFmtId="164" fontId="7" fillId="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5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164" fontId="6" fillId="0" borderId="1" pivotButton="0" quotePrefix="0" xfId="0"/>
    <xf numFmtId="0" fontId="5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0" customWidth="1" min="3" max="3"/>
    <col width="24" customWidth="1" min="4" max="4"/>
  </cols>
  <sheetData>
    <row r="1">
      <c r="A1" s="1" t="inlineStr">
        <is>
          <t>Tire Warehouse Financial Dashboard</t>
        </is>
      </c>
    </row>
    <row r="2"/>
    <row r="3">
      <c r="A3" s="2" t="inlineStr">
        <is>
          <t>INITIAL CAPITAL</t>
        </is>
      </c>
      <c r="B3" s="2" t="inlineStr">
        <is>
          <t>CURRENT INVENTORY</t>
        </is>
      </c>
      <c r="C3" s="2" t="inlineStr">
        <is>
          <t>ACCOUNTS RECEIVABLE</t>
        </is>
      </c>
      <c r="D3" s="2" t="inlineStr">
        <is>
          <t>TOTAL CASH BALANCE</t>
        </is>
      </c>
    </row>
    <row r="4">
      <c r="A4" s="3" t="n">
        <v>30000</v>
      </c>
      <c r="B4" s="3">
        <f>SUMPRODUCT(Inventory!E2:E100, Inventory!F2:F100)</f>
        <v/>
      </c>
      <c r="C4" s="3">
        <f>(SUM(Customers!D2:D100) + SUMIFS(Sales!G2:G100, Sales!D2:D100, "Credit") - SUMIFS(Sales!H2:H100, Sales!D2:D100, "Credit")) - SUM(Payments!D2:D100)</f>
        <v/>
      </c>
      <c r="D4" s="3">
        <f>A4 + SUM(Sales!I2:I100) - B4 - C4</f>
        <v/>
      </c>
    </row>
    <row r="5"/>
    <row r="6"/>
    <row r="7">
      <c r="A7" s="4" t="inlineStr">
        <is>
          <t>Balance Sheet Statement</t>
        </is>
      </c>
    </row>
    <row r="8">
      <c r="A8" s="5" t="inlineStr">
        <is>
          <t>Balance Sheet Metric</t>
        </is>
      </c>
      <c r="B8" s="5" t="inlineStr">
        <is>
          <t>Amount</t>
        </is>
      </c>
      <c r="C8" s="5" t="inlineStr">
        <is>
          <t>Accounting Equation Verification</t>
        </is>
      </c>
    </row>
    <row r="9">
      <c r="A9" s="6" t="inlineStr">
        <is>
          <t>Total Cash Balance (Asset)</t>
        </is>
      </c>
      <c r="B9" s="7">
        <f>D4</f>
        <v/>
      </c>
      <c r="C9" s="8" t="inlineStr">
        <is>
          <t>Assets = Cash + Inventory + Debt</t>
        </is>
      </c>
    </row>
    <row r="10">
      <c r="A10" s="9" t="inlineStr">
        <is>
          <t>Inventory Value (Asset)</t>
        </is>
      </c>
      <c r="B10" s="10">
        <f>B4</f>
        <v/>
      </c>
    </row>
    <row r="11">
      <c r="A11" s="9" t="inlineStr">
        <is>
          <t>Accounts Receivable (Asset)</t>
        </is>
      </c>
      <c r="B11" s="10">
        <f>C4</f>
        <v/>
      </c>
    </row>
    <row r="12">
      <c r="A12" s="6" t="inlineStr">
        <is>
          <t>Total Assets</t>
        </is>
      </c>
      <c r="B12" s="7">
        <f>SUM(B9:B11)</f>
        <v/>
      </c>
    </row>
    <row r="13">
      <c r="A13" s="9" t="inlineStr">
        <is>
          <t>Initial Capital (Equity)</t>
        </is>
      </c>
      <c r="B13" s="10">
        <f>A4</f>
        <v/>
      </c>
      <c r="C13" s="11" t="inlineStr">
        <is>
          <t>Equity = Capital + Retained Earnings</t>
        </is>
      </c>
    </row>
    <row r="14">
      <c r="A14" s="9" t="inlineStr">
        <is>
          <t>Accumulated Profit (Equity)</t>
        </is>
      </c>
      <c r="B14" s="10">
        <f>SUM(Sales!I2:I100)</f>
        <v/>
      </c>
    </row>
    <row r="15">
      <c r="A15" s="6" t="inlineStr">
        <is>
          <t>Total Liabilities &amp; Equity</t>
        </is>
      </c>
      <c r="B15" s="7">
        <f>B13+B14</f>
        <v/>
      </c>
    </row>
    <row r="16">
      <c r="A16" s="12" t="inlineStr">
        <is>
          <t>Status check:</t>
        </is>
      </c>
      <c r="B16" s="13">
        <f>IF(ABS(B12-B15)&lt;0.01, "BALANCED ✓", "ERROR ✗")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5" customWidth="1" min="4" max="4"/>
    <col width="18" customWidth="1" min="5" max="5"/>
    <col width="14" customWidth="1" min="6" max="6"/>
    <col width="18" customWidth="1" min="7" max="7"/>
    <col width="14" customWidth="1" min="8" max="8"/>
  </cols>
  <sheetData>
    <row r="1">
      <c r="A1" s="14" t="inlineStr">
        <is>
          <t>Tire ID</t>
        </is>
      </c>
      <c r="B1" s="15" t="inlineStr">
        <is>
          <t>SKU</t>
        </is>
      </c>
      <c r="C1" s="15" t="inlineStr">
        <is>
          <t>Brand</t>
        </is>
      </c>
      <c r="D1" s="15" t="inlineStr">
        <is>
          <t>Size</t>
        </is>
      </c>
      <c r="E1" s="14" t="inlineStr">
        <is>
          <t>Quantity in Stock</t>
        </is>
      </c>
      <c r="F1" s="15" t="inlineStr">
        <is>
          <t>Cost Price</t>
        </is>
      </c>
      <c r="G1" s="15" t="inlineStr">
        <is>
          <t>Total Value (Cost)</t>
        </is>
      </c>
      <c r="H1" s="15" t="inlineStr">
        <is>
          <t>Sale Price</t>
        </is>
      </c>
    </row>
    <row r="2">
      <c r="A2" s="16" t="n">
        <v>1</v>
      </c>
      <c r="B2" s="9" t="inlineStr">
        <is>
          <t>TR-205-55R16</t>
        </is>
      </c>
      <c r="C2" s="9" t="inlineStr">
        <is>
          <t>Michelin</t>
        </is>
      </c>
      <c r="D2" s="9" t="inlineStr">
        <is>
          <t>205/55R16</t>
        </is>
      </c>
      <c r="E2" s="16" t="n">
        <v>100</v>
      </c>
      <c r="F2" s="10" t="n">
        <v>75</v>
      </c>
      <c r="G2" s="17">
        <f>E2*F2</f>
        <v/>
      </c>
      <c r="H2" s="10" t="n">
        <v>100</v>
      </c>
    </row>
    <row r="3">
      <c r="A3" s="16" t="n">
        <v>2</v>
      </c>
      <c r="B3" s="9" t="inlineStr">
        <is>
          <t>TR-215-60R16</t>
        </is>
      </c>
      <c r="C3" s="9" t="inlineStr">
        <is>
          <t>Bridgestone</t>
        </is>
      </c>
      <c r="D3" s="9" t="inlineStr">
        <is>
          <t>215/60R16</t>
        </is>
      </c>
      <c r="E3" s="16" t="n">
        <v>50</v>
      </c>
      <c r="F3" s="10" t="n">
        <v>50</v>
      </c>
      <c r="G3" s="17">
        <f>E3*F3</f>
        <v/>
      </c>
      <c r="H3" s="10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4" customWidth="1" min="4" max="4"/>
    <col width="24" customWidth="1" min="5" max="5"/>
  </cols>
  <sheetData>
    <row r="1">
      <c r="A1" s="14" t="inlineStr">
        <is>
          <t>Customer ID</t>
        </is>
      </c>
      <c r="B1" s="15" t="inlineStr">
        <is>
          <t>Name</t>
        </is>
      </c>
      <c r="C1" s="15" t="inlineStr">
        <is>
          <t>Phone</t>
        </is>
      </c>
      <c r="D1" s="15" t="inlineStr">
        <is>
          <t>Initial Debt (Receivable)</t>
        </is>
      </c>
      <c r="E1" s="15" t="inlineStr">
        <is>
          <t>Current Owed Balance</t>
        </is>
      </c>
    </row>
    <row r="2">
      <c r="A2" s="16" t="n">
        <v>1</v>
      </c>
      <c r="B2" s="9" t="inlineStr">
        <is>
          <t>Customer A</t>
        </is>
      </c>
      <c r="C2" s="9" t="inlineStr">
        <is>
          <t>+1234567</t>
        </is>
      </c>
      <c r="D2" s="10" t="n">
        <v>5000</v>
      </c>
      <c r="E2" s="17">
        <f>D2 + SUMIFS(Sales!G$2:G$100, Sales!C$2:C$100, B2, Sales!D$2:D$100, "Credit") - SUMIFS(Sales!H$2:H$100, Sales!C$2:C$100, B2) - SUMIFS(Payments!D$2:D$100, Payments!C$2:C$100, B2)</f>
        <v/>
      </c>
    </row>
    <row r="3">
      <c r="A3" s="16" t="n">
        <v>2</v>
      </c>
      <c r="B3" s="9" t="inlineStr">
        <is>
          <t>Customer B</t>
        </is>
      </c>
      <c r="C3" s="9" t="inlineStr">
        <is>
          <t>+1234568</t>
        </is>
      </c>
      <c r="D3" s="10" t="n">
        <v>5000</v>
      </c>
      <c r="E3" s="17">
        <f>D3 + SUMIFS(Sales!G$2:G$100, Sales!C$2:C$100, B3, Sales!D$2:D$100, "Credit") - SUMIFS(Sales!H$2:H$100, Sales!C$2:C$100, B3) - SUMIFS(Payments!D$2:D$100, Payments!C$2:C$100, B3)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5" customWidth="1" min="4" max="4"/>
    <col width="16" customWidth="1" min="5" max="5"/>
    <col width="10" customWidth="1" min="6" max="6"/>
    <col width="16" customWidth="1" min="7" max="7"/>
    <col width="20" customWidth="1" min="8" max="8"/>
    <col width="22" customWidth="1" min="9" max="9"/>
  </cols>
  <sheetData>
    <row r="1">
      <c r="A1" s="18" t="inlineStr">
        <is>
          <t>Date</t>
        </is>
      </c>
      <c r="B1" s="18" t="inlineStr">
        <is>
          <t>Invoice #</t>
        </is>
      </c>
      <c r="C1" s="19" t="inlineStr">
        <is>
          <t>Customer Name</t>
        </is>
      </c>
      <c r="D1" s="19" t="inlineStr">
        <is>
          <t>Payment Type</t>
        </is>
      </c>
      <c r="E1" s="19" t="inlineStr">
        <is>
          <t>Tire SKU</t>
        </is>
      </c>
      <c r="F1" s="18" t="inlineStr">
        <is>
          <t>Qty Sold</t>
        </is>
      </c>
      <c r="G1" s="19" t="inlineStr">
        <is>
          <t>Total Revenue</t>
        </is>
      </c>
      <c r="H1" s="19" t="inlineStr">
        <is>
          <t>Cash Paid (At Sale)</t>
        </is>
      </c>
      <c r="I1" s="19" t="inlineStr">
        <is>
          <t>Profit (COGS deducted)</t>
        </is>
      </c>
    </row>
    <row r="2">
      <c r="A2" s="16" t="inlineStr">
        <is>
          <t>2026-06-16</t>
        </is>
      </c>
      <c r="B2" s="16" t="inlineStr">
        <is>
          <t>INV-1001</t>
        </is>
      </c>
      <c r="C2" s="9" t="inlineStr">
        <is>
          <t>Customer A</t>
        </is>
      </c>
      <c r="D2" s="9" t="inlineStr">
        <is>
          <t>Credit</t>
        </is>
      </c>
      <c r="E2" s="9" t="inlineStr">
        <is>
          <t>TR-205-55R16</t>
        </is>
      </c>
      <c r="F2" s="16" t="n">
        <v>10</v>
      </c>
      <c r="G2" s="10">
        <f>F2*VLOOKUP(E2, Inventory!B$2:H$100, 7, FALSE)</f>
        <v/>
      </c>
      <c r="H2" s="10" t="n">
        <v>0</v>
      </c>
      <c r="I2" s="17">
        <f>G2-(F2*VLOOKUP(E2, Inventory!B$2:H$100, 5, FALSE))</f>
        <v/>
      </c>
    </row>
    <row r="3">
      <c r="A3" s="16" t="inlineStr">
        <is>
          <t>2026-06-17</t>
        </is>
      </c>
      <c r="B3" s="16" t="inlineStr">
        <is>
          <t>INV-1002</t>
        </is>
      </c>
      <c r="C3" s="9" t="inlineStr">
        <is>
          <t>Walk-in Cash</t>
        </is>
      </c>
      <c r="D3" s="9" t="inlineStr">
        <is>
          <t>Cash</t>
        </is>
      </c>
      <c r="E3" s="9" t="inlineStr">
        <is>
          <t>TR-215-60R16</t>
        </is>
      </c>
      <c r="F3" s="16" t="n">
        <v>5</v>
      </c>
      <c r="G3" s="10">
        <f>F3*VLOOKUP(E3, Inventory!B$2:H$100, 7, FALSE)</f>
        <v/>
      </c>
      <c r="H3" s="10">
        <f>G3</f>
        <v/>
      </c>
      <c r="I3" s="17">
        <f>G3-(F3*VLOOKUP(E3, Inventory!B$2:H$100, 5, FALSE))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>
      <c r="A1" s="18" t="inlineStr">
        <is>
          <t>Date</t>
        </is>
      </c>
      <c r="B1" s="18" t="inlineStr">
        <is>
          <t>Receipt #</t>
        </is>
      </c>
      <c r="C1" s="19" t="inlineStr">
        <is>
          <t>Customer Name</t>
        </is>
      </c>
      <c r="D1" s="19" t="inlineStr">
        <is>
          <t>Amount Collected</t>
        </is>
      </c>
      <c r="E1" s="19" t="inlineStr">
        <is>
          <t>Payment Method</t>
        </is>
      </c>
      <c r="F1" s="19" t="inlineStr">
        <is>
          <t>Note</t>
        </is>
      </c>
    </row>
    <row r="2">
      <c r="A2" s="16" t="inlineStr">
        <is>
          <t>2026-06-18</t>
        </is>
      </c>
      <c r="B2" s="16" t="inlineStr">
        <is>
          <t>REC-2001</t>
        </is>
      </c>
      <c r="C2" s="9" t="inlineStr">
        <is>
          <t>Customer A</t>
        </is>
      </c>
      <c r="D2" s="17" t="n">
        <v>1500</v>
      </c>
      <c r="E2" s="9" t="inlineStr">
        <is>
          <t>Cash</t>
        </is>
      </c>
      <c r="F2" s="9" t="inlineStr">
        <is>
          <t>Partial installment payment</t>
        </is>
      </c>
    </row>
    <row r="3">
      <c r="A3" s="16" t="inlineStr">
        <is>
          <t>2026-06-19</t>
        </is>
      </c>
      <c r="B3" s="16" t="inlineStr">
        <is>
          <t>REC-2002</t>
        </is>
      </c>
      <c r="C3" s="9" t="inlineStr">
        <is>
          <t>Customer B</t>
        </is>
      </c>
      <c r="D3" s="17" t="n">
        <v>5000</v>
      </c>
      <c r="E3" s="9" t="inlineStr">
        <is>
          <t>Bank Transfer</t>
        </is>
      </c>
      <c r="F3" s="9" t="inlineStr">
        <is>
          <t>Balance fully 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2026-06-15T17:28:36Z</dcterms:created>
  <dcterms:modified xsi:type="dcterms:W3CDTF">2026-06-15T17:28:36Z</dcterms:modified>
</cp:coreProperties>
</file>